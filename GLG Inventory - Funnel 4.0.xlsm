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mitzar\Downloads\"/>
    </mc:Choice>
  </mc:AlternateContent>
  <xr:revisionPtr revIDLastSave="0" documentId="13_ncr:1_{A906A7C8-420F-4DA0-8B16-2EDACC7607D9}" xr6:coauthVersionLast="47" xr6:coauthVersionMax="47" xr10:uidLastSave="{00000000-0000-0000-0000-000000000000}"/>
  <bookViews>
    <workbookView xWindow="-120" yWindow="-120" windowWidth="29040" windowHeight="15720" activeTab="3" xr2:uid="{092AE58F-A017-43CF-B200-B990FB52BAC0}"/>
  </bookViews>
  <sheets>
    <sheet name="Instructions" sheetId="9" r:id="rId1"/>
    <sheet name="Drop" sheetId="1" r:id="rId2"/>
    <sheet name="Drop AMEX" sheetId="8" r:id="rId3"/>
    <sheet name="Drop NAVY FCU" sheetId="10" r:id="rId4"/>
    <sheet name="Drop Credit One" sheetId="11" r:id="rId5"/>
    <sheet name="w-DOB" sheetId="4" r:id="rId6"/>
    <sheet name="no-DOB" sheetId="5" r:id="rId7"/>
    <sheet name="PRA Output" sheetId="2" r:id="rId8"/>
    <sheet name="Jefferson Capital Output" sheetId="3" r:id="rId9"/>
  </sheets>
  <definedNames>
    <definedName name="_xlnm._FilterDatabase" localSheetId="7" hidden="1">'PRA Output'!$A$1:$B$43031</definedName>
    <definedName name="_xleta.DRO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3" l="1" a="1"/>
  <c r="F1" i="3" s="1"/>
  <c r="E1" i="3" a="1"/>
  <c r="E1" i="3" s="1"/>
  <c r="C1" i="3" a="1"/>
  <c r="C1" i="3" s="1"/>
  <c r="B1" i="3" a="1"/>
  <c r="B1" i="3" s="1"/>
  <c r="A1" i="3" a="1"/>
  <c r="A1" i="3" s="1"/>
  <c r="G1" i="5" a="1"/>
  <c r="G1" i="5" s="1"/>
  <c r="D1" i="5" a="1"/>
  <c r="D1" i="5" s="1"/>
  <c r="A1" i="5" a="1"/>
  <c r="A1" i="5" s="1"/>
  <c r="A1" i="4" a="1"/>
  <c r="A1" i="4" s="1"/>
  <c r="B1" i="2" a="1"/>
  <c r="B1" i="2" s="1"/>
  <c r="A1" i="2" a="1"/>
  <c r="A1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<sst xmlns="http://schemas.openxmlformats.org/spreadsheetml/2006/main" count="35" uniqueCount="21">
  <si>
    <t>ID</t>
  </si>
  <si>
    <t>Last Name</t>
  </si>
  <si>
    <t>First Name</t>
  </si>
  <si>
    <t>Date Of Birth</t>
  </si>
  <si>
    <t>SSN</t>
  </si>
  <si>
    <t>Co-App Last</t>
  </si>
  <si>
    <t>Co-App First</t>
  </si>
  <si>
    <t>Co-App DOB</t>
  </si>
  <si>
    <t>Co-Applicant SSN</t>
  </si>
  <si>
    <t>Resultant data in this sheet already includes Co-Applicant information</t>
  </si>
  <si>
    <t>Contact ID</t>
  </si>
  <si>
    <t>Enrolled Date</t>
  </si>
  <si>
    <t>Creditor</t>
  </si>
  <si>
    <t>Collection Co</t>
  </si>
  <si>
    <t>Current Amount</t>
  </si>
  <si>
    <t>Applicant Name</t>
  </si>
  <si>
    <t>Applicant SSN</t>
  </si>
  <si>
    <t>Co-SSN</t>
  </si>
  <si>
    <t>Read all the instructions before proceeding.</t>
  </si>
  <si>
    <t>The macros will generate a set of files into the GDrive https://drive.google.com/drive/folders/1-5khvpvCML4lQ6NXuHCV4lPMcApgOsUy</t>
  </si>
  <si>
    <t>Reference to the files needed from the set generated can be found in https://docs.google.com/spreadsheets/d/1ATEq_rQHF1iaAUQQm6N4pV3CeqhdI-7BfOOnFfaH6g4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</si>
</sst>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16" fillId="0" borderId="0" xfId="0" applyFont="1"/>
    <xf numFmtId="0" fontId="14" fillId="0" borderId="0" xfId="0" applyFont="1"/>
    <xf numFmtId="0" fontId="16" fillId="33" borderId="0" xfId="0" applyFont="1" applyFill="1"/>
    <xf numFmtId="0" fontId="0" fillId="0" borderId="0" xfId="0" quotePrefix="1"/>
    <xf numFmtId="0" fontId="16" fillId="34" borderId="0" xfId="0" applyFont="1" applyFill="1"/>
    <xf numFmtId="0" fontId="18" fillId="0" borderId="0" xfId="0" applyFont="1" applyAlignment="1">
      <alignment wrapText="1"/>
    </xf>
    <xf numFmtId="0" fontId="19" fillId="0" borderId="0" xfId="0" applyFont="1" applyAlignment="1">
      <alignment wrapText="1"/>
    </xf>
    <xf numFmtId="14" fontId="16" fillId="33" borderId="0" xfId="0" applyNumberFormat="1" applyFont="1" applyFill="1"/>
    <xf numFmtId="14" fontId="16" fillId="34" borderId="0" xfId="0" applyNumberFormat="1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3</xdr:col>
      <xdr:colOff>2728</xdr:colOff>
      <xdr:row>8</xdr:row>
      <xdr:rowOff>0</xdr:rowOff>
    </xdr:to>
    <xdr:sp macro="[0]!ThisWorkbook.ClearSheetContents" textlink="">
      <xdr:nvSpPr>
        <xdr:cNvPr id="3" name="Rectangle 2">
          <a:extLst>
            <a:ext uri="{FF2B5EF4-FFF2-40B4-BE49-F238E27FC236}">
              <a16:creationId xmlns:a16="http://schemas.microsoft.com/office/drawing/2014/main" id="{AAA7753D-0D20-328F-884C-4CC0EA973E3C}"/>
            </a:ext>
          </a:extLst>
        </xdr:cNvPr>
        <xdr:cNvSpPr/>
      </xdr:nvSpPr>
      <xdr:spPr>
        <a:xfrm>
          <a:off x="495300" y="1143000"/>
          <a:ext cx="3060253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1. CLICK HERE to </a:t>
          </a:r>
          <a:r>
            <a:rPr lang="en-US" sz="1400" b="1"/>
            <a:t>Clean Drop </a:t>
          </a:r>
          <a:r>
            <a:rPr lang="en-US" sz="1400"/>
            <a:t>tabs</a:t>
          </a:r>
        </a:p>
      </xdr:txBody>
    </xdr:sp>
    <xdr:clientData/>
  </xdr:twoCellAnchor>
  <xdr:twoCellAnchor>
    <xdr:from>
      <xdr:col>1</xdr:col>
      <xdr:colOff>228537</xdr:colOff>
      <xdr:row>9</xdr:row>
      <xdr:rowOff>1</xdr:rowOff>
    </xdr:from>
    <xdr:to>
      <xdr:col>3</xdr:col>
      <xdr:colOff>1</xdr:colOff>
      <xdr:row>13</xdr:row>
      <xdr:rowOff>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CB9B39F-DD96-4770-B12C-248B4E2AAD53}"/>
            </a:ext>
          </a:extLst>
        </xdr:cNvPr>
        <xdr:cNvSpPr/>
      </xdr:nvSpPr>
      <xdr:spPr>
        <a:xfrm>
          <a:off x="485712" y="1714501"/>
          <a:ext cx="3067114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2. Copy the data from Forth</a:t>
          </a:r>
          <a:r>
            <a:rPr lang="en-US" sz="1400" baseline="0"/>
            <a:t> export:</a:t>
          </a:r>
        </a:p>
        <a:p>
          <a:pPr algn="l"/>
          <a:r>
            <a:rPr lang="en-US" sz="1400" b="1" baseline="0"/>
            <a:t>Contacts &gt; Active Clients - NG v2 </a:t>
          </a:r>
          <a:r>
            <a:rPr lang="en-US" sz="1400" b="0" baseline="0"/>
            <a:t>and paste it into tab </a:t>
          </a:r>
          <a:r>
            <a:rPr lang="en-US" sz="1400" b="1" baseline="0"/>
            <a:t>Drop </a:t>
          </a:r>
          <a:r>
            <a:rPr lang="en-US" sz="1400" b="0" baseline="0"/>
            <a:t>as Values.</a:t>
          </a:r>
          <a:endParaRPr lang="en-US" sz="1400" b="1"/>
        </a:p>
      </xdr:txBody>
    </xdr:sp>
    <xdr:clientData/>
  </xdr:twoCellAnchor>
  <xdr:twoCellAnchor>
    <xdr:from>
      <xdr:col>1</xdr:col>
      <xdr:colOff>228536</xdr:colOff>
      <xdr:row>14</xdr:row>
      <xdr:rowOff>19050</xdr:rowOff>
    </xdr:from>
    <xdr:to>
      <xdr:col>3</xdr:col>
      <xdr:colOff>0</xdr:colOff>
      <xdr:row>22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19564F9D-3CE3-4A5C-9CD3-E704A4788738}"/>
            </a:ext>
          </a:extLst>
        </xdr:cNvPr>
        <xdr:cNvSpPr/>
      </xdr:nvSpPr>
      <xdr:spPr>
        <a:xfrm>
          <a:off x="485711" y="3390900"/>
          <a:ext cx="3676714" cy="1504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3. Copy the data from Forth</a:t>
          </a:r>
          <a:r>
            <a:rPr lang="en-US" sz="1400" baseline="0"/>
            <a:t> export:</a:t>
          </a:r>
        </a:p>
        <a:p>
          <a:pPr algn="l"/>
          <a:r>
            <a:rPr lang="en-US" sz="1100" b="1" baseline="0"/>
            <a:t>- Creditors &gt; Debt Reports &gt; American Express Enrolled </a:t>
          </a:r>
          <a:r>
            <a:rPr lang="en-US" sz="1100" b="0" baseline="0"/>
            <a:t>and paste it into tab </a:t>
          </a:r>
          <a:r>
            <a:rPr lang="en-US" sz="1100" b="1" baseline="0"/>
            <a:t>Drop AMEX </a:t>
          </a:r>
          <a:r>
            <a:rPr lang="en-US" sz="1100" b="0" baseline="0"/>
            <a:t>as Values.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Creditors &gt; Debt Reports &gt; RS - Enrolled | NAVY FCU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and paste it into tab 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Drop NAVY FCU </a:t>
          </a:r>
          <a:r>
            <a:rPr lang="en-US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Values.</a:t>
          </a:r>
        </a:p>
        <a:p>
          <a:pPr eaLnBrk="1" fontAlgn="auto" latinLnBrk="0" hangingPunct="1"/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Creditors &gt; Debt Reports &gt; RS - Enrolled | Credit One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and paste it into tab 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Drop Credit One </a:t>
          </a:r>
          <a:r>
            <a:rPr lang="en-US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Values.</a:t>
          </a:r>
          <a:endParaRPr lang="en-US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effectLst/>
          </a:endParaRPr>
        </a:p>
      </xdr:txBody>
    </xdr:sp>
    <xdr:clientData/>
  </xdr:twoCellAnchor>
  <xdr:twoCellAnchor>
    <xdr:from>
      <xdr:col>1</xdr:col>
      <xdr:colOff>235397</xdr:colOff>
      <xdr:row>23</xdr:row>
      <xdr:rowOff>0</xdr:rowOff>
    </xdr:from>
    <xdr:to>
      <xdr:col>3</xdr:col>
      <xdr:colOff>0</xdr:colOff>
      <xdr:row>27</xdr:row>
      <xdr:rowOff>0</xdr:rowOff>
    </xdr:to>
    <xdr:sp macro="[0]!ThisWorkbook.CreateFoldersAndFiles" textlink="">
      <xdr:nvSpPr>
        <xdr:cNvPr id="7" name="Rectangle 6">
          <a:extLst>
            <a:ext uri="{FF2B5EF4-FFF2-40B4-BE49-F238E27FC236}">
              <a16:creationId xmlns:a16="http://schemas.microsoft.com/office/drawing/2014/main" id="{0B55203C-927F-4721-A38E-6AFB71BA4AE7}"/>
            </a:ext>
          </a:extLst>
        </xdr:cNvPr>
        <xdr:cNvSpPr/>
      </xdr:nvSpPr>
      <xdr:spPr>
        <a:xfrm>
          <a:off x="492572" y="5086350"/>
          <a:ext cx="3669853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4. CLICK HERE to </a:t>
          </a:r>
          <a:r>
            <a:rPr lang="en-US" sz="1400" b="1"/>
            <a:t>Generate New</a:t>
          </a:r>
          <a:r>
            <a:rPr lang="en-US" sz="1400" b="1" baseline="0"/>
            <a:t> Files </a:t>
          </a:r>
          <a:r>
            <a:rPr lang="en-US" sz="1400" b="0" baseline="0"/>
            <a:t>and enter the name of the new folder (MMMM YY Ex. January 2025)</a:t>
          </a:r>
          <a:endParaRPr lang="en-US" sz="1400"/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4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A0F4C-12AD-49AC-BE5B-90BB0849C562}">
  <sheetPr codeName="Sheet8">
    <tabColor theme="3" tint="9.9978637043366805E-2"/>
  </sheetPr>
  <dimension ref="C3:C5"/>
  <sheetViews>
    <sheetView showGridLines="0" workbookViewId="0">
      <selection activeCell="F20" sqref="F20"/>
    </sheetView>
  </sheetViews>
  <sheetFormatPr defaultRowHeight="15" x14ac:dyDescent="0.25"/>
  <cols>
    <col min="1" max="1" width="3.85546875" customWidth="1"/>
    <col min="2" max="2" width="3.5703125" customWidth="1"/>
    <col min="3" max="3" width="55" customWidth="1"/>
  </cols>
  <sheetData>
    <row r="3" spans="3:3" x14ac:dyDescent="0.25">
      <c r="C3" s="7" t="s">
        <v>18</v>
      </c>
    </row>
    <row r="4" spans="3:3" ht="36.75" x14ac:dyDescent="0.25">
      <c r="C4" s="8" t="s">
        <v>19</v>
      </c>
    </row>
    <row r="5" spans="3:3" ht="48.75" x14ac:dyDescent="0.25">
      <c r="C5" s="8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D3E84-005A-4C64-AC22-32B7142C36FB}">
  <sheetPr codeName="Sheet1">
    <tabColor theme="1"/>
  </sheetPr>
  <dimension ref="A1:I1"/>
  <sheetViews>
    <sheetView workbookViewId="0">
      <selection activeCell="C1" sqref="C1"/>
    </sheetView>
  </sheetViews>
  <sheetFormatPr defaultRowHeight="15" x14ac:dyDescent="0.25"/>
  <cols>
    <col min="1" max="1" width="11" bestFit="1" customWidth="1"/>
    <col min="2" max="2" width="26.5703125" bestFit="1" customWidth="1"/>
    <col min="3" max="3" width="17.42578125" bestFit="1" customWidth="1"/>
    <col min="4" max="4" width="11.140625" style="1" bestFit="1" customWidth="1"/>
    <col min="5" max="5" width="14.42578125" bestFit="1" customWidth="1"/>
    <col min="6" max="6" width="18.28515625" bestFit="1" customWidth="1"/>
    <col min="7" max="7" width="16.5703125" bestFit="1" customWidth="1"/>
    <col min="8" max="8" width="11" style="1" bestFit="1" customWidth="1"/>
    <col min="9" max="9" width="15.28515625" bestFit="1" customWidth="1"/>
  </cols>
  <sheetData>
    <row r="1" spans="1:9" s="2" customFormat="1" x14ac:dyDescent="0.25">
      <c r="A1" s="4" t="s">
        <v>0</v>
      </c>
      <c r="B1" s="4" t="s">
        <v>1</v>
      </c>
      <c r="C1" s="4" t="s">
        <v>2</v>
      </c>
      <c r="D1" s="9" t="s">
        <v>3</v>
      </c>
      <c r="E1" s="4" t="s">
        <v>4</v>
      </c>
      <c r="F1" s="4" t="s">
        <v>5</v>
      </c>
      <c r="G1" s="4" t="s">
        <v>6</v>
      </c>
      <c r="H1" s="9" t="s">
        <v>7</v>
      </c>
      <c r="I1" s="4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D56E-7DE6-48A4-9DC8-E90CFBA7D27E}">
  <sheetPr codeName="Sheet7">
    <tabColor theme="1"/>
  </sheetPr>
  <dimension ref="A1:H1814"/>
  <sheetViews>
    <sheetView topLeftCell="A361" workbookViewId="0">
      <selection activeCell="B379" sqref="B1:B1048576"/>
    </sheetView>
  </sheetViews>
  <sheetFormatPr defaultRowHeight="15" x14ac:dyDescent="0.25"/>
  <cols>
    <col min="1" max="1" width="11" bestFit="1" customWidth="1"/>
    <col min="2" max="2" width="13.42578125" style="1" bestFit="1" customWidth="1"/>
    <col min="3" max="3" width="30.28515625" bestFit="1" customWidth="1"/>
    <col min="4" max="4" width="36.140625" bestFit="1" customWidth="1"/>
    <col min="5" max="5" width="15.5703125" bestFit="1" customWidth="1"/>
    <col min="6" max="6" width="35.5703125" bestFit="1" customWidth="1"/>
    <col min="7" max="7" width="13.7109375" bestFit="1" customWidth="1"/>
    <col min="8" max="8" width="11.42578125" bestFit="1" customWidth="1"/>
  </cols>
  <sheetData>
    <row r="1" spans="1:8" x14ac:dyDescent="0.25">
      <c r="A1" s="6" t="s">
        <v>10</v>
      </c>
      <c r="B1" s="10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  <c r="H1" s="6" t="s">
        <v>17</v>
      </c>
    </row>
    <row r="4" spans="1:8" x14ac:dyDescent="0.25">
      <c r="G4" s="5"/>
    </row>
    <row r="1492" spans="7:7" x14ac:dyDescent="0.25">
      <c r="G1492" s="5"/>
    </row>
    <row r="1814" spans="7:7" x14ac:dyDescent="0.25">
      <c r="G1814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24BA7-D35D-4857-947A-C841E8BD4AD8}">
  <sheetPr codeName="Sheet9">
    <tabColor theme="1"/>
  </sheetPr>
  <dimension ref="A1:G1814"/>
  <sheetViews>
    <sheetView tabSelected="1" workbookViewId="0">
      <selection activeCell="E32" sqref="E32"/>
    </sheetView>
  </sheetViews>
  <sheetFormatPr defaultRowHeight="15" x14ac:dyDescent="0.25"/>
  <cols>
    <col min="1" max="1" width="11" bestFit="1" customWidth="1"/>
    <col min="2" max="2" width="13.42578125" style="1" bestFit="1" customWidth="1"/>
    <col min="3" max="3" width="30.28515625" bestFit="1" customWidth="1"/>
    <col min="4" max="4" width="15.5703125" bestFit="1" customWidth="1"/>
    <col min="5" max="5" width="35.5703125" bestFit="1" customWidth="1"/>
    <col min="6" max="6" width="13.7109375" bestFit="1" customWidth="1"/>
    <col min="7" max="7" width="11.42578125" bestFit="1" customWidth="1"/>
  </cols>
  <sheetData>
    <row r="1" spans="1:7" x14ac:dyDescent="0.25">
      <c r="A1" s="6" t="s">
        <v>10</v>
      </c>
      <c r="B1" s="10" t="s">
        <v>11</v>
      </c>
      <c r="C1" s="6" t="s">
        <v>12</v>
      </c>
      <c r="D1" s="6" t="s">
        <v>14</v>
      </c>
      <c r="E1" s="6" t="s">
        <v>15</v>
      </c>
      <c r="F1" s="6" t="s">
        <v>16</v>
      </c>
      <c r="G1" s="6" t="s">
        <v>17</v>
      </c>
    </row>
    <row r="4" spans="1:7" x14ac:dyDescent="0.25">
      <c r="F4" s="5"/>
    </row>
    <row r="1492" spans="6:6" x14ac:dyDescent="0.25">
      <c r="F1492" s="5"/>
    </row>
    <row r="1814" spans="6:6" x14ac:dyDescent="0.25">
      <c r="F1814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02F48-6165-4FB6-BA91-E00C98821FF0}">
  <sheetPr codeName="Sheet10">
    <tabColor theme="1"/>
  </sheetPr>
  <dimension ref="A1:G1814"/>
  <sheetViews>
    <sheetView workbookViewId="0">
      <selection activeCell="D34" sqref="D34"/>
    </sheetView>
  </sheetViews>
  <sheetFormatPr defaultRowHeight="15" x14ac:dyDescent="0.25"/>
  <cols>
    <col min="1" max="1" width="11" bestFit="1" customWidth="1"/>
    <col min="2" max="2" width="13.42578125" style="1" bestFit="1" customWidth="1"/>
    <col min="3" max="3" width="30.28515625" bestFit="1" customWidth="1"/>
    <col min="4" max="4" width="15.5703125" bestFit="1" customWidth="1"/>
    <col min="5" max="5" width="35.5703125" bestFit="1" customWidth="1"/>
    <col min="6" max="6" width="13.7109375" bestFit="1" customWidth="1"/>
    <col min="7" max="7" width="11.42578125" bestFit="1" customWidth="1"/>
  </cols>
  <sheetData>
    <row r="1" spans="1:7" x14ac:dyDescent="0.25">
      <c r="A1" s="6" t="s">
        <v>10</v>
      </c>
      <c r="B1" s="10" t="s">
        <v>11</v>
      </c>
      <c r="C1" s="6" t="s">
        <v>12</v>
      </c>
      <c r="D1" s="6" t="s">
        <v>14</v>
      </c>
      <c r="E1" s="6" t="s">
        <v>15</v>
      </c>
      <c r="F1" s="6" t="s">
        <v>16</v>
      </c>
      <c r="G1" s="6" t="s">
        <v>17</v>
      </c>
    </row>
    <row r="4" spans="1:7" x14ac:dyDescent="0.25">
      <c r="F4" s="5"/>
    </row>
    <row r="1492" spans="6:6" x14ac:dyDescent="0.25">
      <c r="F1492" s="5"/>
    </row>
    <row r="1814" spans="6:6" x14ac:dyDescent="0.25">
      <c r="F1814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464C4-9208-4A89-8A3E-5E096CF8F44F}">
  <sheetPr codeName="Sheet2">
    <tabColor theme="9" tint="-0.499984740745262"/>
  </sheetPr>
  <dimension ref="A1:I1"/>
  <sheetViews>
    <sheetView workbookViewId="0">
      <selection activeCell="H1" activeCellId="1" sqref="D1:D1048576 H1:H1048576"/>
    </sheetView>
  </sheetViews>
  <sheetFormatPr defaultRowHeight="15" x14ac:dyDescent="0.25"/>
  <cols>
    <col min="1" max="1" width="11" bestFit="1" customWidth="1"/>
    <col min="2" max="2" width="28.85546875" bestFit="1" customWidth="1"/>
    <col min="3" max="3" width="20.7109375" bestFit="1" customWidth="1"/>
    <col min="4" max="4" width="12" style="1" bestFit="1" customWidth="1"/>
    <col min="5" max="5" width="14.5703125" bestFit="1" customWidth="1"/>
    <col min="6" max="6" width="20.140625" bestFit="1" customWidth="1"/>
    <col min="7" max="7" width="18.28515625" bestFit="1" customWidth="1"/>
    <col min="8" max="8" width="11.7109375" style="1" bestFit="1" customWidth="1"/>
    <col min="9" max="9" width="16.42578125" bestFit="1" customWidth="1"/>
  </cols>
  <sheetData>
    <row r="1" spans="1:9" x14ac:dyDescent="0.25">
      <c r="A1" t="str" cm="1">
        <f t="array" ref="A1:I1">_xlfn._xlws.FILTER(IF(Drop!A:I="","",Drop!A:I),Drop!A:A&lt;&gt;"","")</f>
        <v>ID</v>
      </c>
      <c r="B1" t="str">
        <v>Last Name</v>
      </c>
      <c r="C1" t="str">
        <v>First Name</v>
      </c>
      <c r="D1" s="1" t="str">
        <v>Date Of Birth</v>
      </c>
      <c r="E1" t="str">
        <v>SSN</v>
      </c>
      <c r="F1" t="str">
        <v>Co-App Last</v>
      </c>
      <c r="G1" t="str">
        <v>Co-App First</v>
      </c>
      <c r="H1" s="1" t="str">
        <v>Co-App DOB</v>
      </c>
      <c r="I1" t="str">
        <v>Co-Applicant SSN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AAB44-0296-400D-8647-EC1F34ECB644}">
  <sheetPr codeName="Sheet3">
    <tabColor theme="9" tint="-0.499984740745262"/>
  </sheetPr>
  <dimension ref="A1:G1"/>
  <sheetViews>
    <sheetView workbookViewId="0">
      <selection activeCell="G34" sqref="G34"/>
    </sheetView>
  </sheetViews>
  <sheetFormatPr defaultRowHeight="15" x14ac:dyDescent="0.25"/>
  <cols>
    <col min="1" max="1" width="11" bestFit="1" customWidth="1"/>
    <col min="2" max="2" width="28.85546875" bestFit="1" customWidth="1"/>
    <col min="3" max="3" width="20.7109375" bestFit="1" customWidth="1"/>
    <col min="4" max="4" width="14.5703125" bestFit="1" customWidth="1"/>
    <col min="5" max="5" width="20.140625" bestFit="1" customWidth="1"/>
    <col min="6" max="6" width="18.28515625" bestFit="1" customWidth="1"/>
    <col min="7" max="7" width="16.42578125" bestFit="1" customWidth="1"/>
  </cols>
  <sheetData>
    <row r="1" spans="1:7" x14ac:dyDescent="0.25">
      <c r="A1" t="str" cm="1">
        <f t="array" ref="A1:C1">_xlfn._xlws.FILTER(IF(Drop!A:C="","",Drop!A:C),Drop!$A:$A&lt;&gt;"")</f>
        <v>ID</v>
      </c>
      <c r="B1" t="str">
        <v>Last Name</v>
      </c>
      <c r="C1" t="str">
        <v>First Name</v>
      </c>
      <c r="D1" t="str" cm="1">
        <f t="array" ref="D1:F1">_xlfn._xlws.FILTER(IF(Drop!E:G="","",Drop!E:G),Drop!$A:$A&lt;&gt;"")</f>
        <v>SSN</v>
      </c>
      <c r="E1" t="str">
        <v>Co-App Last</v>
      </c>
      <c r="F1" t="str">
        <v>Co-App First</v>
      </c>
      <c r="G1" t="str" cm="1">
        <f t="array" ref="G1">_xlfn._xlws.FILTER(IF(Drop!I:I="","",Drop!I:I),Drop!$A:$A&lt;&gt;"")</f>
        <v>Co-Applicant SSN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65C48-2FCE-4392-9365-B2CF6A23CD15}">
  <sheetPr codeName="Sheet4">
    <tabColor theme="9" tint="-0.499984740745262"/>
  </sheetPr>
  <dimension ref="A1:D1"/>
  <sheetViews>
    <sheetView workbookViewId="0">
      <selection activeCell="G34" sqref="G34"/>
    </sheetView>
  </sheetViews>
  <sheetFormatPr defaultRowHeight="15" x14ac:dyDescent="0.25"/>
  <cols>
    <col min="1" max="1" width="11" bestFit="1" customWidth="1"/>
    <col min="2" max="2" width="13.140625" bestFit="1" customWidth="1"/>
    <col min="4" max="5" width="10" bestFit="1" customWidth="1"/>
  </cols>
  <sheetData>
    <row r="1" spans="1:4" x14ac:dyDescent="0.25">
      <c r="A1" s="4" t="e" cm="1" vm="1">
        <f t="array" aca="1" ref="A1" ca="1">_xlfn.VSTACK("Client ID",
_xlfn._xlws.FILTER(Drop!$A:$A,(Drop!$A:$A&lt;&gt;"ID")*(Drop!$A:$A&lt;&gt;""),""),
_xlfn._xlws.FILTER(Drop!$A:$A,(Drop!$I:$I&lt;&gt;"Co-Applicant SSN")*(Drop!$I:$I&lt;&gt;""),"")
)</f>
        <v>#NAME?</v>
      </c>
      <c r="B1" s="4" t="e" cm="1" vm="1">
        <f t="array" aca="1" ref="B1" ca="1">_xlfn.VSTACK("SSN",
_xlfn._xlws.FILTER(SUBSTITUTE(Drop!$E:$E,"-",""),(Drop!$A:$A&lt;&gt;"ID")*(Drop!$A:$A&lt;&gt;""),""),
_xlfn._xlws.FILTER(SUBSTITUTE(Drop!$I:$I,"-",""),(Drop!$I:$I&lt;&gt;"Co-Applicant SSN")*(Drop!$I:$I&lt;&gt;""),"")
)</f>
        <v>#NAME?</v>
      </c>
      <c r="D1" s="3" t="s">
        <v>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AF74D-DE27-4CF9-BB2F-BB038E6ED37A}">
  <sheetPr codeName="Sheet5">
    <tabColor theme="9" tint="-0.499984740745262"/>
  </sheetPr>
  <dimension ref="A1:G1"/>
  <sheetViews>
    <sheetView workbookViewId="0">
      <selection activeCell="G34" sqref="G34"/>
    </sheetView>
  </sheetViews>
  <sheetFormatPr defaultRowHeight="15" x14ac:dyDescent="0.25"/>
  <cols>
    <col min="1" max="1" width="11" bestFit="1" customWidth="1"/>
    <col min="2" max="2" width="14.5703125" bestFit="1" customWidth="1"/>
    <col min="3" max="3" width="28.85546875" bestFit="1" customWidth="1"/>
    <col min="4" max="4" width="20.7109375" bestFit="1" customWidth="1"/>
    <col min="5" max="5" width="16.42578125" bestFit="1" customWidth="1"/>
    <col min="6" max="6" width="20.140625" bestFit="1" customWidth="1"/>
    <col min="7" max="7" width="18.28515625" bestFit="1" customWidth="1"/>
  </cols>
  <sheetData>
    <row r="1" spans="1:7" x14ac:dyDescent="0.25">
      <c r="A1" t="str" cm="1">
        <f t="array" ref="A1">_xlfn._xlws.FILTER(IF(Drop!A:A="","",Drop!A:A),Drop!A:A&lt;&gt;"","")</f>
        <v>ID</v>
      </c>
      <c r="B1" t="str" cm="1">
        <f t="array" ref="B1">_xlfn._xlws.FILTER(IF(Drop!E:E="","",Drop!E:E),Drop!A:A&lt;&gt;"","")</f>
        <v>SSN</v>
      </c>
      <c r="C1" t="str" cm="1">
        <f t="array" ref="C1:D1">_xlfn._xlws.FILTER(IF(Drop!B:C="","",Drop!B:C),Drop!A:A&lt;&gt;"","")</f>
        <v>Last Name</v>
      </c>
      <c r="D1" t="str">
        <v>First Name</v>
      </c>
      <c r="E1" t="str" cm="1">
        <f t="array" ref="E1">_xlfn._xlws.FILTER(IF(Drop!I:I="","",Drop!I:I),Drop!A:A&lt;&gt;"","")</f>
        <v>Co-Applicant SSN</v>
      </c>
      <c r="F1" t="str" cm="1">
        <f t="array" ref="F1:G1">_xlfn._xlws.FILTER(IF(Drop!F:G="","",Drop!F:G),Drop!A:A&lt;&gt;"","")</f>
        <v>Co-App Last</v>
      </c>
      <c r="G1" t="str">
        <v>Co-App First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Drop</vt:lpstr>
      <vt:lpstr>Drop AMEX</vt:lpstr>
      <vt:lpstr>Drop NAVY FCU</vt:lpstr>
      <vt:lpstr>Drop Credit One</vt:lpstr>
      <vt:lpstr>w-DOB</vt:lpstr>
      <vt:lpstr>no-DOB</vt:lpstr>
      <vt:lpstr>PRA Output</vt:lpstr>
      <vt:lpstr>Jefferson Capital 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Robinson Cruz</dc:creator>
  <cp:lastModifiedBy>mitzar</cp:lastModifiedBy>
  <dcterms:created xsi:type="dcterms:W3CDTF">2024-11-05T21:22:45Z</dcterms:created>
  <dcterms:modified xsi:type="dcterms:W3CDTF">2025-02-27T15:40:01Z</dcterms:modified>
</cp:coreProperties>
</file>